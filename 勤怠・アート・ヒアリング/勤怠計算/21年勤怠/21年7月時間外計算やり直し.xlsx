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シート1" sheetId="1" r:id="rId4"/>
    <sheet name="シート2" sheetId="2" r:id="rId5"/>
  </sheets>
</workbook>
</file>

<file path=xl/sharedStrings.xml><?xml version="1.0" encoding="utf-8"?>
<sst xmlns="http://schemas.openxmlformats.org/spreadsheetml/2006/main" uniqueCount="22">
  <si>
    <t>表1</t>
  </si>
  <si>
    <t>黒木</t>
  </si>
  <si>
    <t>一森</t>
  </si>
  <si>
    <t>田上</t>
  </si>
  <si>
    <t>大植</t>
  </si>
  <si>
    <t>奥井</t>
  </si>
  <si>
    <t>堀木</t>
  </si>
  <si>
    <t>松井</t>
  </si>
  <si>
    <t>合計時間（分）</t>
  </si>
  <si>
    <t>合計時間（時間）</t>
  </si>
  <si>
    <t>30分切り捨て</t>
  </si>
  <si>
    <t>算出時給
（基本給/170）</t>
  </si>
  <si>
    <t>切り捨て残業代</t>
  </si>
  <si>
    <t>*1.25</t>
  </si>
  <si>
    <t>残業代</t>
  </si>
  <si>
    <t>表1-1</t>
  </si>
  <si>
    <t>法内</t>
  </si>
  <si>
    <t>法外</t>
  </si>
  <si>
    <t>月</t>
  </si>
  <si>
    <t>30分四捨五入</t>
  </si>
  <si>
    <t>手当</t>
  </si>
  <si>
    <t>振込金額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</si>
</sst>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[h]&quot;時間&quot; m&quot;分&quot;"/>
    <numFmt numFmtId="60" formatCode="#,##0.0"/>
  </numFmts>
  <fonts count="3">
    <font>
      <sz val="10"/>
      <color indexed="8"/>
      <name val="ヒラギノ角ゴ ProN W3"/>
    </font>
    <font>
      <sz val="12"/>
      <color indexed="8"/>
      <name val="ヒラギノ角ゴ ProN W3"/>
    </font>
    <font>
      <sz val="10"/>
      <color indexed="8"/>
      <name val="ヒラギノ角ゴ ProN W6"/>
    </font>
  </fonts>
  <fills count="1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59" fontId="0" borderId="4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2" fillId="4" borderId="5" applyNumberFormat="1" applyFont="1" applyFill="1" applyBorder="1" applyAlignment="1" applyProtection="0">
      <alignment vertical="top" wrapText="1"/>
    </xf>
    <xf numFmtId="0" fontId="0" fillId="4" borderId="6" applyNumberFormat="1" applyFont="1" applyFill="1" applyBorder="1" applyAlignment="1" applyProtection="0">
      <alignment vertical="top" wrapText="1"/>
    </xf>
    <xf numFmtId="0" fontId="0" fillId="4" borderId="7" applyNumberFormat="1" applyFont="1" applyFill="1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2" fontId="0" borderId="6" applyNumberFormat="1" applyFont="1" applyFill="0" applyBorder="1" applyAlignment="1" applyProtection="0">
      <alignment vertical="top" wrapText="1"/>
    </xf>
    <xf numFmtId="2" fontId="0" borderId="7" applyNumberFormat="1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49" fontId="2" fillId="5" borderId="5" applyNumberFormat="1" applyFont="1" applyFill="1" applyBorder="1" applyAlignment="1" applyProtection="0">
      <alignment vertical="top" wrapText="1"/>
    </xf>
    <xf numFmtId="0" fontId="0" fillId="5" borderId="6" applyNumberFormat="0" applyFont="1" applyFill="1" applyBorder="1" applyAlignment="1" applyProtection="0">
      <alignment vertical="top" wrapText="1"/>
    </xf>
    <xf numFmtId="0" fontId="0" fillId="5" borderId="7" applyNumberFormat="0" applyFont="1" applyFill="1" applyBorder="1" applyAlignment="1" applyProtection="0">
      <alignment vertical="top" wrapText="1"/>
    </xf>
    <xf numFmtId="2" fontId="0" fillId="5" borderId="7" applyNumberFormat="1" applyFont="1" applyFill="1" applyBorder="1" applyAlignment="1" applyProtection="0">
      <alignment vertical="top" wrapText="1"/>
    </xf>
    <xf numFmtId="49" fontId="2" fillId="6" borderId="5" applyNumberFormat="1" applyFont="1" applyFill="1" applyBorder="1" applyAlignment="1" applyProtection="0">
      <alignment vertical="top" wrapText="1"/>
    </xf>
    <xf numFmtId="0" fontId="0" fillId="6" borderId="6" applyNumberFormat="0" applyFont="1" applyFill="1" applyBorder="1" applyAlignment="1" applyProtection="0">
      <alignment vertical="top" wrapText="1"/>
    </xf>
    <xf numFmtId="0" fontId="0" fillId="6" borderId="7" applyNumberFormat="0" applyFont="1" applyFill="1" applyBorder="1" applyAlignment="1" applyProtection="0">
      <alignment vertical="top" wrapText="1"/>
    </xf>
    <xf numFmtId="3" fontId="0" fillId="6" borderId="7" applyNumberFormat="1" applyFont="1" applyFill="1" applyBorder="1" applyAlignment="1" applyProtection="0">
      <alignment vertical="top" wrapText="1"/>
    </xf>
    <xf numFmtId="60" fontId="0" fillId="6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7" borderId="1" applyNumberFormat="1" applyFont="1" applyFill="1" applyBorder="1" applyAlignment="1" applyProtection="0">
      <alignment vertical="top" wrapText="1"/>
    </xf>
    <xf numFmtId="49" fontId="2" fillId="8" borderId="1" applyNumberFormat="1" applyFont="1" applyFill="1" applyBorder="1" applyAlignment="1" applyProtection="0">
      <alignment vertical="top" wrapText="1"/>
    </xf>
    <xf numFmtId="49" fontId="2" fillId="5" borderId="1" applyNumberFormat="1" applyFont="1" applyFill="1" applyBorder="1" applyAlignment="1" applyProtection="0">
      <alignment vertical="top" wrapText="1"/>
    </xf>
    <xf numFmtId="49" fontId="2" fillId="9" borderId="1" applyNumberFormat="1" applyFont="1" applyFill="1" applyBorder="1" applyAlignment="1" applyProtection="0">
      <alignment vertical="top" wrapText="1"/>
    </xf>
    <xf numFmtId="0" fontId="0" fillId="7" borderId="3" applyNumberFormat="1" applyFont="1" applyFill="1" applyBorder="1" applyAlignment="1" applyProtection="0">
      <alignment vertical="top" wrapText="1"/>
    </xf>
    <xf numFmtId="0" fontId="0" fillId="7" borderId="4" applyNumberFormat="1" applyFont="1" applyFill="1" applyBorder="1" applyAlignment="1" applyProtection="0">
      <alignment vertical="top" wrapText="1"/>
    </xf>
    <xf numFmtId="0" fontId="0" fillId="5" borderId="4" applyNumberFormat="1" applyFont="1" applyFill="1" applyBorder="1" applyAlignment="1" applyProtection="0">
      <alignment vertical="top" wrapText="1"/>
    </xf>
    <xf numFmtId="0" fontId="0" fillId="9" borderId="4" applyNumberFormat="1" applyFont="1" applyFill="1" applyBorder="1" applyAlignment="1" applyProtection="0">
      <alignment vertical="top" wrapText="1"/>
    </xf>
    <xf numFmtId="0" fontId="0" fillId="7" borderId="6" applyNumberFormat="1" applyFont="1" applyFill="1" applyBorder="1" applyAlignment="1" applyProtection="0">
      <alignment vertical="top" wrapText="1"/>
    </xf>
    <xf numFmtId="0" fontId="0" fillId="7" borderId="7" applyNumberFormat="1" applyFont="1" applyFill="1" applyBorder="1" applyAlignment="1" applyProtection="0">
      <alignment vertical="top" wrapText="1"/>
    </xf>
    <xf numFmtId="0" fontId="0" fillId="5" borderId="7" applyNumberFormat="1" applyFont="1" applyFill="1" applyBorder="1" applyAlignment="1" applyProtection="0">
      <alignment vertical="top" wrapText="1"/>
    </xf>
    <xf numFmtId="0" fontId="0" fillId="9" borderId="7" applyNumberFormat="1" applyFont="1" applyFill="1" applyBorder="1" applyAlignment="1" applyProtection="0">
      <alignment vertical="top" wrapText="1"/>
    </xf>
    <xf numFmtId="49" fontId="2" fillId="7" borderId="5" applyNumberFormat="1" applyFont="1" applyFill="1" applyBorder="1" applyAlignment="1" applyProtection="0">
      <alignment vertical="top" wrapText="1"/>
    </xf>
    <xf numFmtId="0" fontId="0" fillId="7" borderId="7" applyNumberFormat="0" applyFont="1" applyFill="1" applyBorder="1" applyAlignment="1" applyProtection="0">
      <alignment vertical="top" wrapText="1"/>
    </xf>
    <xf numFmtId="0" fontId="0" fillId="9" borderId="7" applyNumberFormat="0" applyFont="1" applyFill="1" applyBorder="1" applyAlignment="1" applyProtection="0">
      <alignment vertical="top" wrapText="1"/>
    </xf>
    <xf numFmtId="2" fontId="0" fillId="7" borderId="6" applyNumberFormat="1" applyFont="1" applyFill="1" applyBorder="1" applyAlignment="1" applyProtection="0">
      <alignment vertical="top" wrapText="1"/>
    </xf>
    <xf numFmtId="2" fontId="0" fillId="7" borderId="7" applyNumberFormat="1" applyFont="1" applyFill="1" applyBorder="1" applyAlignment="1" applyProtection="0">
      <alignment vertical="top" wrapText="1"/>
    </xf>
    <xf numFmtId="2" fontId="0" fillId="9" borderId="7" applyNumberFormat="1" applyFont="1" applyFill="1" applyBorder="1" applyAlignment="1" applyProtection="0">
      <alignment vertical="top" wrapText="1"/>
    </xf>
    <xf numFmtId="49" fontId="2" fillId="8" borderId="5" applyNumberFormat="1" applyFont="1" applyFill="1" applyBorder="1" applyAlignment="1" applyProtection="0">
      <alignment vertical="top" wrapText="1"/>
    </xf>
    <xf numFmtId="0" fontId="0" fillId="7" borderId="6" applyNumberFormat="0" applyFont="1" applyFill="1" applyBorder="1" applyAlignment="1" applyProtection="0">
      <alignment vertical="top" wrapText="1"/>
    </xf>
    <xf numFmtId="0" fontId="0" fillId="8" borderId="6" applyNumberFormat="0" applyFont="1" applyFill="1" applyBorder="1" applyAlignment="1" applyProtection="0">
      <alignment vertical="top" wrapText="1"/>
    </xf>
    <xf numFmtId="2" fontId="0" fillId="8" borderId="7" applyNumberFormat="1" applyFont="1" applyFill="1" applyBorder="1" applyAlignment="1" applyProtection="0">
      <alignment vertical="top" wrapText="1"/>
    </xf>
    <xf numFmtId="0" fontId="0" fillId="8" borderId="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056"/>
      <rgbColor rgb="ff88f94e"/>
      <rgbColor rgb="ffff94ca"/>
      <rgbColor rgb="ff72fce9"/>
      <rgbColor rgb="fffefffe"/>
      <rgbColor rgb="ffff968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H18"/>
  <sheetViews>
    <sheetView workbookViewId="0" showGridLines="0" defaultGridColor="1">
      <pane topLeftCell="B3" xSplit="1" ySplit="2" activePane="bottomRight" state="frozen"/>
    </sheetView>
  </sheetViews>
  <sheetFormatPr defaultColWidth="19.6" defaultRowHeight="19.9" customHeight="1" outlineLevelRow="0" outlineLevelCol="0"/>
  <cols>
    <col min="1" max="8" width="19.6016" style="1" customWidth="1"/>
    <col min="9" max="16384" width="19.6016" style="1" customWidth="1"/>
  </cols>
  <sheetData>
    <row r="1" ht="25.95" customHeight="1">
      <c r="A1" t="s" s="2">
        <v>0</v>
      </c>
      <c r="B1" s="2"/>
      <c r="C1" s="2"/>
      <c r="D1" s="2"/>
      <c r="E1" s="2"/>
      <c r="F1" s="2"/>
      <c r="G1" s="2"/>
      <c r="H1" s="2"/>
    </row>
    <row r="2" ht="18.5" customHeight="1">
      <c r="A2" s="3"/>
      <c r="B2" t="s" s="4">
        <v>1</v>
      </c>
      <c r="C2" t="s" s="4">
        <v>2</v>
      </c>
      <c r="D2" t="s" s="4">
        <v>3</v>
      </c>
      <c r="E2" t="s" s="4">
        <v>4</v>
      </c>
      <c r="F2" t="s" s="4">
        <v>5</v>
      </c>
      <c r="G2" t="s" s="4">
        <v>6</v>
      </c>
      <c r="H2" t="s" s="4">
        <v>7</v>
      </c>
    </row>
    <row r="3" ht="18.5" customHeight="1">
      <c r="A3" s="5"/>
      <c r="B3" s="6">
        <v>14</v>
      </c>
      <c r="C3" s="7">
        <v>14</v>
      </c>
      <c r="D3" s="7">
        <v>213</v>
      </c>
      <c r="E3" s="7">
        <v>32</v>
      </c>
      <c r="F3" s="8">
        <v>0.65</v>
      </c>
      <c r="G3" s="7">
        <v>208</v>
      </c>
      <c r="H3" s="7">
        <v>213</v>
      </c>
    </row>
    <row r="4" ht="18.3" customHeight="1">
      <c r="A4" s="9"/>
      <c r="B4" s="10">
        <v>-18</v>
      </c>
      <c r="C4" s="11">
        <v>-32</v>
      </c>
      <c r="D4" s="11">
        <v>74</v>
      </c>
      <c r="E4" s="11">
        <v>4</v>
      </c>
      <c r="F4" s="12"/>
      <c r="G4" s="11">
        <v>73</v>
      </c>
      <c r="H4" s="11">
        <v>74</v>
      </c>
    </row>
    <row r="5" ht="18.3" customHeight="1">
      <c r="A5" s="9"/>
      <c r="B5" s="10">
        <v>-5</v>
      </c>
      <c r="C5" s="11">
        <v>-5</v>
      </c>
      <c r="D5" s="11">
        <v>55</v>
      </c>
      <c r="E5" s="11">
        <v>60</v>
      </c>
      <c r="F5" s="12"/>
      <c r="G5" s="11">
        <v>55</v>
      </c>
      <c r="H5" s="11">
        <v>56</v>
      </c>
    </row>
    <row r="6" ht="18.3" customHeight="1">
      <c r="A6" s="9"/>
      <c r="B6" s="10">
        <v>-7</v>
      </c>
      <c r="C6" s="11">
        <v>-20</v>
      </c>
      <c r="D6" s="11">
        <v>30</v>
      </c>
      <c r="E6" s="11">
        <v>-21</v>
      </c>
      <c r="F6" s="12"/>
      <c r="G6" s="11">
        <v>33</v>
      </c>
      <c r="H6" s="11">
        <v>22</v>
      </c>
    </row>
    <row r="7" ht="18.3" customHeight="1">
      <c r="A7" s="9"/>
      <c r="B7" s="10">
        <v>-20</v>
      </c>
      <c r="C7" s="11">
        <v>12</v>
      </c>
      <c r="D7" s="11">
        <v>45</v>
      </c>
      <c r="E7" s="11">
        <v>10</v>
      </c>
      <c r="F7" s="12"/>
      <c r="G7" s="11">
        <v>1</v>
      </c>
      <c r="H7" s="11">
        <v>41</v>
      </c>
    </row>
    <row r="8" ht="18.3" customHeight="1">
      <c r="A8" s="9"/>
      <c r="B8" s="10">
        <v>-17</v>
      </c>
      <c r="C8" s="11">
        <v>-17</v>
      </c>
      <c r="D8" s="11">
        <v>9</v>
      </c>
      <c r="E8" s="11">
        <v>21</v>
      </c>
      <c r="F8" s="12"/>
      <c r="G8" s="11">
        <v>33</v>
      </c>
      <c r="H8" s="11">
        <v>8</v>
      </c>
    </row>
    <row r="9" ht="18.3" customHeight="1">
      <c r="A9" s="9"/>
      <c r="B9" s="10">
        <v>-14</v>
      </c>
      <c r="C9" s="11">
        <v>-14</v>
      </c>
      <c r="D9" s="11">
        <v>19</v>
      </c>
      <c r="E9" s="11">
        <v>12</v>
      </c>
      <c r="F9" s="12"/>
      <c r="G9" s="11">
        <v>-10</v>
      </c>
      <c r="H9" s="11">
        <v>26</v>
      </c>
    </row>
    <row r="10" ht="18.3" customHeight="1">
      <c r="A10" s="9"/>
      <c r="B10" s="10">
        <v>-3</v>
      </c>
      <c r="C10" s="11">
        <v>-3</v>
      </c>
      <c r="D10" s="11">
        <v>31</v>
      </c>
      <c r="E10" s="11">
        <v>-1</v>
      </c>
      <c r="F10" s="12"/>
      <c r="G10" s="11">
        <v>31</v>
      </c>
      <c r="H10" s="11">
        <v>-9</v>
      </c>
    </row>
    <row r="11" ht="18.3" customHeight="1">
      <c r="A11" t="s" s="13">
        <v>8</v>
      </c>
      <c r="B11" s="14">
        <f>SUM(B3:B10)</f>
        <v>-70</v>
      </c>
      <c r="C11" s="15">
        <f>SUM(C3:C10)</f>
        <v>-65</v>
      </c>
      <c r="D11" s="15">
        <f>SUM(D3:D10)</f>
        <v>476</v>
      </c>
      <c r="E11" s="15">
        <f>SUM(E3:E10)</f>
        <v>117</v>
      </c>
      <c r="F11" s="15">
        <v>936</v>
      </c>
      <c r="G11" s="15">
        <f>SUM(G3:G10)</f>
        <v>424</v>
      </c>
      <c r="H11" s="15">
        <f>SUM(H3:H10)</f>
        <v>431</v>
      </c>
    </row>
    <row r="12" ht="18.3" customHeight="1">
      <c r="A12" t="s" s="16">
        <v>9</v>
      </c>
      <c r="B12" s="17">
        <f>B11/60</f>
        <v>-1.16666666666667</v>
      </c>
      <c r="C12" s="18">
        <f>C11/60</f>
        <v>-1.08333333333333</v>
      </c>
      <c r="D12" s="18">
        <f>D11/60</f>
        <v>7.93333333333333</v>
      </c>
      <c r="E12" s="18">
        <f>E11/60</f>
        <v>1.95</v>
      </c>
      <c r="F12" s="18">
        <f>F11/60</f>
        <v>15.6</v>
      </c>
      <c r="G12" s="18">
        <f>G11/60</f>
        <v>7.06666666666667</v>
      </c>
      <c r="H12" s="18">
        <f>H11/60</f>
        <v>7.18333333333333</v>
      </c>
    </row>
    <row r="13" ht="18.3" customHeight="1">
      <c r="A13" t="s" s="16">
        <v>10</v>
      </c>
      <c r="B13" s="17"/>
      <c r="C13" s="18"/>
      <c r="D13" s="18">
        <v>7.5</v>
      </c>
      <c r="E13" s="18"/>
      <c r="F13" s="18"/>
      <c r="G13" s="18">
        <v>7</v>
      </c>
      <c r="H13" s="18">
        <v>7</v>
      </c>
    </row>
    <row r="14" ht="33.3" customHeight="1">
      <c r="A14" t="s" s="16">
        <v>11</v>
      </c>
      <c r="B14" s="19"/>
      <c r="C14" s="12"/>
      <c r="D14" s="11">
        <v>1176</v>
      </c>
      <c r="E14" s="12"/>
      <c r="F14" s="11">
        <v>1100</v>
      </c>
      <c r="G14" s="11">
        <v>1237</v>
      </c>
      <c r="H14" s="11">
        <v>1117</v>
      </c>
    </row>
    <row r="15" ht="18.3" customHeight="1">
      <c r="A15" t="s" s="20">
        <v>12</v>
      </c>
      <c r="B15" s="21"/>
      <c r="C15" s="22"/>
      <c r="D15" s="23">
        <f>D13*D14</f>
        <v>8820</v>
      </c>
      <c r="E15" s="22"/>
      <c r="F15" s="22"/>
      <c r="G15" s="23">
        <f>G13*G14</f>
        <v>8659</v>
      </c>
      <c r="H15" s="23">
        <f>H13*H14</f>
        <v>7819</v>
      </c>
    </row>
    <row r="16" ht="18.3" customHeight="1">
      <c r="A16" t="s" s="20">
        <v>13</v>
      </c>
      <c r="B16" s="21"/>
      <c r="C16" s="22"/>
      <c r="D16" s="23">
        <f>D15*1.25</f>
        <v>11025</v>
      </c>
      <c r="E16" s="22"/>
      <c r="F16" s="22"/>
      <c r="G16" s="23">
        <f>G15*1.25</f>
        <v>10823.75</v>
      </c>
      <c r="H16" s="23">
        <f>H15*1.25</f>
        <v>9773.75</v>
      </c>
    </row>
    <row r="17" ht="18.3" customHeight="1">
      <c r="A17" t="s" s="24">
        <v>14</v>
      </c>
      <c r="B17" s="25"/>
      <c r="C17" s="26"/>
      <c r="D17" s="27">
        <f>D12*D14</f>
        <v>9329.6</v>
      </c>
      <c r="E17" s="28">
        <f>E12*E14</f>
        <v>0</v>
      </c>
      <c r="F17" s="27">
        <f>F12*F14</f>
        <v>17160</v>
      </c>
      <c r="G17" s="28">
        <f>G12*G14</f>
        <v>8741.466666666671</v>
      </c>
      <c r="H17" s="27">
        <f>H12*H14</f>
        <v>8023.783333333330</v>
      </c>
    </row>
    <row r="18" ht="18.3" customHeight="1">
      <c r="A18" t="s" s="24">
        <v>13</v>
      </c>
      <c r="B18" s="25"/>
      <c r="C18" s="26"/>
      <c r="D18" s="27">
        <f>D17*1.25</f>
        <v>11662</v>
      </c>
      <c r="E18" s="26"/>
      <c r="F18" s="26"/>
      <c r="G18" s="28">
        <f>G17*1.25</f>
        <v>10926.8333333333</v>
      </c>
      <c r="H18" s="27">
        <f>H17*1.25</f>
        <v>10029.7291666667</v>
      </c>
    </row>
  </sheetData>
  <mergeCells count="1">
    <mergeCell ref="A1:H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&amp;C&amp;"ヒラギノ角ゴ ProN W3,Regular"&amp;12&amp;K000000&amp;P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B3:K17"/>
  <sheetViews>
    <sheetView workbookViewId="0" showGridLines="0" defaultGridColor="1">
      <pane topLeftCell="C4" xSplit="2" ySplit="3" activePane="bottomRight" state="frozen"/>
    </sheetView>
  </sheetViews>
  <sheetFormatPr defaultColWidth="19.6" defaultRowHeight="23" customHeight="1" outlineLevelRow="0" outlineLevelCol="0"/>
  <cols>
    <col min="1" max="1" width="2.02344" style="29" customWidth="1"/>
    <col min="2" max="2" width="19.6016" style="29" customWidth="1"/>
    <col min="3" max="11" width="17.2344" style="29" customWidth="1"/>
    <col min="12" max="16384" width="19.6016" style="29" customWidth="1"/>
  </cols>
  <sheetData>
    <row r="1" ht="17.7" customHeight="1"/>
    <row r="2" ht="25.95" customHeight="1">
      <c r="B2" t="s" s="2">
        <v>15</v>
      </c>
      <c r="C2" s="2"/>
      <c r="D2" s="2"/>
      <c r="E2" s="2"/>
      <c r="F2" s="2"/>
      <c r="G2" s="2"/>
      <c r="H2" s="2"/>
      <c r="I2" s="2"/>
      <c r="J2" s="2"/>
      <c r="K2" s="2"/>
    </row>
    <row r="3" ht="18.5" customHeight="1">
      <c r="B3" s="3"/>
      <c r="C3" t="s" s="30">
        <v>3</v>
      </c>
      <c r="D3" t="s" s="31">
        <v>16</v>
      </c>
      <c r="E3" t="s" s="31">
        <v>17</v>
      </c>
      <c r="F3" t="s" s="32">
        <v>6</v>
      </c>
      <c r="G3" t="s" s="31">
        <v>16</v>
      </c>
      <c r="H3" t="s" s="31">
        <v>17</v>
      </c>
      <c r="I3" t="s" s="33">
        <v>7</v>
      </c>
      <c r="J3" t="s" s="31">
        <v>16</v>
      </c>
      <c r="K3" t="s" s="31">
        <v>17</v>
      </c>
    </row>
    <row r="4" ht="18.5" customHeight="1">
      <c r="B4" s="5"/>
      <c r="C4" s="34">
        <v>213</v>
      </c>
      <c r="D4" s="35">
        <v>60</v>
      </c>
      <c r="E4" s="35">
        <f>C4-D4</f>
        <v>153</v>
      </c>
      <c r="F4" s="36">
        <v>208</v>
      </c>
      <c r="G4" s="36">
        <v>60</v>
      </c>
      <c r="H4" s="36">
        <f>F4-G4</f>
        <v>148</v>
      </c>
      <c r="I4" s="37">
        <v>213</v>
      </c>
      <c r="J4" s="37">
        <v>60</v>
      </c>
      <c r="K4" s="37">
        <f>I4-J4</f>
        <v>153</v>
      </c>
    </row>
    <row r="5" ht="18.3" customHeight="1">
      <c r="B5" s="9"/>
      <c r="C5" s="38">
        <v>74</v>
      </c>
      <c r="D5" s="39">
        <v>60</v>
      </c>
      <c r="E5" s="39">
        <f>C5-D5</f>
        <v>14</v>
      </c>
      <c r="F5" s="40">
        <v>73</v>
      </c>
      <c r="G5" s="40">
        <v>60</v>
      </c>
      <c r="H5" s="40">
        <f>F5-G5</f>
        <v>13</v>
      </c>
      <c r="I5" s="41">
        <v>74</v>
      </c>
      <c r="J5" s="41">
        <v>60</v>
      </c>
      <c r="K5" s="41">
        <f>I5-J5</f>
        <v>14</v>
      </c>
    </row>
    <row r="6" ht="18.3" customHeight="1">
      <c r="B6" s="9"/>
      <c r="C6" s="38">
        <v>55</v>
      </c>
      <c r="D6" s="39">
        <v>55</v>
      </c>
      <c r="E6" s="39">
        <f>C6-D6</f>
        <v>0</v>
      </c>
      <c r="F6" s="40">
        <v>55</v>
      </c>
      <c r="G6" s="40">
        <v>55</v>
      </c>
      <c r="H6" s="40">
        <f>F6-G6</f>
        <v>0</v>
      </c>
      <c r="I6" s="41">
        <v>56</v>
      </c>
      <c r="J6" s="41">
        <v>56</v>
      </c>
      <c r="K6" s="41">
        <f>I6-J6</f>
        <v>0</v>
      </c>
    </row>
    <row r="7" ht="18.3" customHeight="1">
      <c r="B7" t="s" s="42">
        <v>18</v>
      </c>
      <c r="C7" s="38">
        <v>30</v>
      </c>
      <c r="D7" s="43"/>
      <c r="E7" s="39">
        <v>30</v>
      </c>
      <c r="F7" s="40">
        <v>33</v>
      </c>
      <c r="G7" s="22"/>
      <c r="H7" s="40">
        <v>33</v>
      </c>
      <c r="I7" s="41">
        <v>22</v>
      </c>
      <c r="J7" s="44"/>
      <c r="K7" s="41">
        <v>22</v>
      </c>
    </row>
    <row r="8" ht="18.3" customHeight="1">
      <c r="B8" s="9"/>
      <c r="C8" s="38">
        <v>45</v>
      </c>
      <c r="D8" s="39">
        <v>45</v>
      </c>
      <c r="E8" s="43"/>
      <c r="F8" s="40">
        <v>1</v>
      </c>
      <c r="G8" s="40">
        <v>1</v>
      </c>
      <c r="H8" s="22"/>
      <c r="I8" s="41">
        <v>41</v>
      </c>
      <c r="J8" s="41">
        <v>41</v>
      </c>
      <c r="K8" s="44"/>
    </row>
    <row r="9" ht="18.3" customHeight="1">
      <c r="B9" s="9"/>
      <c r="C9" s="38">
        <v>9</v>
      </c>
      <c r="D9" s="39">
        <v>9</v>
      </c>
      <c r="E9" s="43"/>
      <c r="F9" s="40">
        <v>33</v>
      </c>
      <c r="G9" s="40">
        <v>33</v>
      </c>
      <c r="H9" s="22"/>
      <c r="I9" s="41">
        <v>8</v>
      </c>
      <c r="J9" s="41">
        <v>8</v>
      </c>
      <c r="K9" s="44"/>
    </row>
    <row r="10" ht="18.3" customHeight="1">
      <c r="B10" s="9"/>
      <c r="C10" s="38">
        <v>19</v>
      </c>
      <c r="D10" s="39">
        <v>19</v>
      </c>
      <c r="E10" s="43"/>
      <c r="F10" s="40">
        <v>-10</v>
      </c>
      <c r="G10" s="40">
        <v>-10</v>
      </c>
      <c r="H10" s="22"/>
      <c r="I10" s="41">
        <v>26</v>
      </c>
      <c r="J10" s="41">
        <v>26</v>
      </c>
      <c r="K10" s="44"/>
    </row>
    <row r="11" ht="18.3" customHeight="1">
      <c r="B11" s="9"/>
      <c r="C11" s="38">
        <v>31</v>
      </c>
      <c r="D11" s="39">
        <v>31</v>
      </c>
      <c r="E11" s="43"/>
      <c r="F11" s="40">
        <v>31</v>
      </c>
      <c r="G11" s="40">
        <v>31</v>
      </c>
      <c r="H11" s="22"/>
      <c r="I11" s="41">
        <v>-9</v>
      </c>
      <c r="J11" s="41">
        <v>-9</v>
      </c>
      <c r="K11" s="44"/>
    </row>
    <row r="12" ht="18.3" customHeight="1">
      <c r="B12" t="s" s="13">
        <v>8</v>
      </c>
      <c r="C12" s="14">
        <f>SUM(C4:C11)</f>
        <v>476</v>
      </c>
      <c r="D12" s="15">
        <f>SUM(D4:D11)</f>
        <v>279</v>
      </c>
      <c r="E12" s="15">
        <f>SUM(E4:E11)</f>
        <v>197</v>
      </c>
      <c r="F12" s="15">
        <f>SUM(F4:F11)</f>
        <v>424</v>
      </c>
      <c r="G12" s="15">
        <f>SUM(G4:G11)</f>
        <v>230</v>
      </c>
      <c r="H12" s="15">
        <f>SUM(H4:H11)</f>
        <v>194</v>
      </c>
      <c r="I12" s="15">
        <f>SUM(I4:I11)</f>
        <v>431</v>
      </c>
      <c r="J12" s="15">
        <f>SUM(J4:J11)</f>
        <v>242</v>
      </c>
      <c r="K12" s="15">
        <f>SUM(K4:K11)</f>
        <v>189</v>
      </c>
    </row>
    <row r="13" ht="18.3" customHeight="1">
      <c r="B13" t="s" s="16">
        <v>9</v>
      </c>
      <c r="C13" s="45"/>
      <c r="D13" s="46">
        <f>D12/60</f>
        <v>4.65</v>
      </c>
      <c r="E13" s="46">
        <f>E12/60</f>
        <v>3.28333333333333</v>
      </c>
      <c r="F13" s="23">
        <f>F12/60</f>
        <v>7.06666666666667</v>
      </c>
      <c r="G13" s="23">
        <f>G12/60</f>
        <v>3.83333333333333</v>
      </c>
      <c r="H13" s="23">
        <f>H12/60</f>
        <v>3.23333333333333</v>
      </c>
      <c r="I13" s="47">
        <f>I12/60</f>
        <v>7.18333333333333</v>
      </c>
      <c r="J13" s="47">
        <f>J12/60</f>
        <v>4.03333333333333</v>
      </c>
      <c r="K13" s="47">
        <f>K12/60</f>
        <v>3.15</v>
      </c>
    </row>
    <row r="14" ht="18.3" customHeight="1">
      <c r="B14" t="s" s="16">
        <v>19</v>
      </c>
      <c r="C14" s="45"/>
      <c r="D14" s="46">
        <v>5</v>
      </c>
      <c r="E14" s="46">
        <v>3</v>
      </c>
      <c r="F14" s="23">
        <v>7</v>
      </c>
      <c r="G14" s="23">
        <v>4</v>
      </c>
      <c r="H14" s="23">
        <v>3</v>
      </c>
      <c r="I14" s="47">
        <v>7</v>
      </c>
      <c r="J14" s="47">
        <v>4</v>
      </c>
      <c r="K14" s="47">
        <v>3</v>
      </c>
    </row>
    <row r="15" ht="33.3" customHeight="1">
      <c r="B15" t="s" s="48">
        <v>11</v>
      </c>
      <c r="C15" s="49"/>
      <c r="D15" s="39">
        <v>1176</v>
      </c>
      <c r="E15" s="39">
        <f>D15*1.25</f>
        <v>1470</v>
      </c>
      <c r="F15" s="22"/>
      <c r="G15" s="40">
        <v>1237</v>
      </c>
      <c r="H15" s="40">
        <f>G15*1.25</f>
        <v>1546.25</v>
      </c>
      <c r="I15" s="44"/>
      <c r="J15" s="41">
        <v>1117</v>
      </c>
      <c r="K15" s="41">
        <f>J15*1.25</f>
        <v>1396.25</v>
      </c>
    </row>
    <row r="16" ht="48.65" customHeight="1">
      <c r="B16" t="s" s="48">
        <v>20</v>
      </c>
      <c r="C16" s="50"/>
      <c r="D16" s="51">
        <f>D14*D15</f>
        <v>5880</v>
      </c>
      <c r="E16" s="51">
        <f>E14*E15</f>
        <v>4410</v>
      </c>
      <c r="F16" s="52"/>
      <c r="G16" s="51">
        <f>G14*G15</f>
        <v>4948</v>
      </c>
      <c r="H16" s="51">
        <f>H14*H15</f>
        <v>4638.75</v>
      </c>
      <c r="I16" s="52"/>
      <c r="J16" s="51">
        <f>J14*J15</f>
        <v>4468</v>
      </c>
      <c r="K16" s="51">
        <f>K14*K15</f>
        <v>4188.75</v>
      </c>
    </row>
    <row r="17" ht="54.75" customHeight="1">
      <c r="B17" t="s" s="48">
        <v>21</v>
      </c>
      <c r="C17" s="50"/>
      <c r="D17" s="52"/>
      <c r="E17" s="51">
        <f>D16+E16</f>
        <v>10290</v>
      </c>
      <c r="F17" s="52"/>
      <c r="G17" s="52"/>
      <c r="H17" s="51">
        <f>G16+H16</f>
        <v>9586.75</v>
      </c>
      <c r="I17" s="52"/>
      <c r="J17" s="52"/>
      <c r="K17" s="51">
        <f>J16+K16</f>
        <v>8656.75</v>
      </c>
    </row>
  </sheetData>
  <mergeCells count="1">
    <mergeCell ref="B2:K2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